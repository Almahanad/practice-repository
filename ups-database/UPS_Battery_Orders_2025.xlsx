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بطاريات حسب الموقع" sheetId="1" state="visible" r:id="rId1"/>
    <sheet name="طلبات البطاريات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A6675"/>
      <sz val="10"/>
    </font>
    <font>
      <name val="Arial"/>
      <b val="1"/>
      <color rgb="001F3864"/>
      <sz val="11"/>
    </font>
    <font>
      <name val="Arial"/>
      <b val="1"/>
      <color rgb="002E75B6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.5"/>
    </font>
    <font>
      <name val="Arial"/>
      <b val="1"/>
      <color rgb="00000000"/>
      <sz val="10.5"/>
    </font>
    <font>
      <name val="Arial"/>
      <color rgb="001A2433"/>
      <sz val="10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6FA"/>
      </patternFill>
    </fill>
    <fill>
      <patternFill patternType="solid">
        <fgColor rgb="002E75B6"/>
      </patternFill>
    </fill>
    <fill>
      <patternFill patternType="solid">
        <fgColor rgb="00FFF9DB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FF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8" customWidth="1" min="4" max="4"/>
    <col width="46" customWidth="1" min="5" max="5"/>
  </cols>
  <sheetData>
    <row r="1" ht="30" customHeight="1">
      <c r="A1" s="1" t="inlineStr">
        <is>
          <t>سجل بطاريات أجهزة الـ UPS حسب الموقع</t>
        </is>
      </c>
    </row>
    <row r="2" ht="20" customHeight="1">
      <c r="A2" s="13" t="inlineStr">
        <is>
          <t>مجمّع من قائمتين زوّد بهما المستخدم (جدول مصوَّر + قائمة مرقّمة). لا تواريخ - كما طُلب.</t>
        </is>
      </c>
    </row>
    <row r="3">
      <c r="D3" s="14" t="inlineStr">
        <is>
          <t>إجمالي عدد البطاريات</t>
        </is>
      </c>
      <c r="E3" s="4">
        <f>SUM(C6:C78)</f>
        <v/>
      </c>
    </row>
    <row r="4">
      <c r="D4" s="14" t="inlineStr">
        <is>
          <t>عدد المواقع</t>
        </is>
      </c>
      <c r="E4" s="3">
        <f>COUNTA(B6:B78)</f>
        <v/>
      </c>
    </row>
    <row r="5" ht="24" customHeight="1">
      <c r="A5" s="5" t="inlineStr">
        <is>
          <t>م</t>
        </is>
      </c>
      <c r="B5" s="5" t="inlineStr">
        <is>
          <t>الموقع</t>
        </is>
      </c>
      <c r="C5" s="5" t="inlineStr">
        <is>
          <t>العدد</t>
        </is>
      </c>
      <c r="D5" s="5" t="inlineStr">
        <is>
          <t>نوع/سعة البطارية</t>
        </is>
      </c>
      <c r="E5" s="5" t="inlineStr">
        <is>
          <t>ملاحظات</t>
        </is>
      </c>
    </row>
    <row r="6">
      <c r="A6" s="15" t="n">
        <v>1</v>
      </c>
      <c r="B6" s="16" t="inlineStr">
        <is>
          <t>مبنى الخدمات بمحوت</t>
        </is>
      </c>
      <c r="C6" s="15" t="n">
        <v>40</v>
      </c>
      <c r="D6" s="15" t="inlineStr">
        <is>
          <t>12V 26AH</t>
        </is>
      </c>
      <c r="E6" s="16" t="inlineStr"/>
    </row>
    <row r="7">
      <c r="A7" s="17" t="n">
        <v>2</v>
      </c>
      <c r="B7" s="18" t="inlineStr">
        <is>
          <t>مهام الدقم</t>
        </is>
      </c>
      <c r="C7" s="17" t="n">
        <v>40</v>
      </c>
      <c r="D7" s="17" t="inlineStr">
        <is>
          <t>12V 26AH</t>
        </is>
      </c>
      <c r="E7" s="18" t="inlineStr"/>
    </row>
    <row r="8">
      <c r="A8" s="15" t="n">
        <v>3</v>
      </c>
      <c r="B8" s="16" t="inlineStr">
        <is>
          <t>توقيف الداخلية</t>
        </is>
      </c>
      <c r="C8" s="15" t="n">
        <v>240</v>
      </c>
      <c r="D8" s="15" t="inlineStr">
        <is>
          <t>12V 9AH</t>
        </is>
      </c>
      <c r="E8" s="16" t="inlineStr"/>
    </row>
    <row r="9">
      <c r="A9" s="17" t="n">
        <v>4</v>
      </c>
      <c r="B9" s="18" t="inlineStr">
        <is>
          <t>الأحوال المدنية السيب المبنى رقم 2</t>
        </is>
      </c>
      <c r="C9" s="17" t="n">
        <v>36</v>
      </c>
      <c r="D9" s="17" t="inlineStr">
        <is>
          <t>12V 65AH</t>
        </is>
      </c>
      <c r="E9" s="18" t="inlineStr"/>
    </row>
    <row r="10">
      <c r="A10" s="15" t="n">
        <v>5</v>
      </c>
      <c r="B10" s="16" t="inlineStr">
        <is>
          <t>مركز شرطة الوطية الطابق الأرضي والطابق الأول</t>
        </is>
      </c>
      <c r="C10" s="15" t="n">
        <v>80</v>
      </c>
      <c r="D10" s="15" t="inlineStr">
        <is>
          <t>12V 40AH</t>
        </is>
      </c>
      <c r="E10" s="16" t="inlineStr"/>
    </row>
    <row r="11">
      <c r="A11" s="17" t="n">
        <v>6</v>
      </c>
      <c r="B11" s="18" t="inlineStr">
        <is>
          <t>مهام الخوض الدور الثاني</t>
        </is>
      </c>
      <c r="C11" s="17" t="n">
        <v>36</v>
      </c>
      <c r="D11" s="17" t="inlineStr">
        <is>
          <t>12V 42AH</t>
        </is>
      </c>
      <c r="E11" s="18" t="inlineStr"/>
    </row>
    <row r="12">
      <c r="A12" s="15" t="n">
        <v>7</v>
      </c>
      <c r="B12" s="16" t="inlineStr">
        <is>
          <t>مركز شرطة سمائل</t>
        </is>
      </c>
      <c r="C12" s="15" t="n">
        <v>80</v>
      </c>
      <c r="D12" s="15" t="inlineStr">
        <is>
          <t>12V 40AH</t>
        </is>
      </c>
      <c r="E12" s="16" t="inlineStr"/>
    </row>
    <row r="13">
      <c r="A13" s="17" t="n">
        <v>8</v>
      </c>
      <c r="B13" s="18" t="inlineStr">
        <is>
          <t>مركز شرطة ضنك</t>
        </is>
      </c>
      <c r="C13" s="17" t="n">
        <v>76</v>
      </c>
      <c r="D13" s="17" t="inlineStr">
        <is>
          <t>12V 40AH</t>
        </is>
      </c>
      <c r="E13" s="18" t="inlineStr"/>
    </row>
    <row r="14">
      <c r="A14" s="15" t="n">
        <v>9</v>
      </c>
      <c r="B14" s="16" t="inlineStr">
        <is>
          <t>مركز شرطة صلالة الدور الأرضي</t>
        </is>
      </c>
      <c r="C14" s="15" t="n">
        <v>40</v>
      </c>
      <c r="D14" s="15" t="inlineStr">
        <is>
          <t>12V 26AH</t>
        </is>
      </c>
      <c r="E14" s="16" t="inlineStr"/>
    </row>
    <row r="15">
      <c r="A15" s="17" t="n">
        <v>10</v>
      </c>
      <c r="B15" s="18" t="inlineStr">
        <is>
          <t>مركز شرطة الكامل الدور الأرضي</t>
        </is>
      </c>
      <c r="C15" s="17" t="n">
        <v>36</v>
      </c>
      <c r="D15" s="17" t="inlineStr">
        <is>
          <t>12V 65AH</t>
        </is>
      </c>
      <c r="E15" s="18" t="inlineStr"/>
    </row>
    <row r="16">
      <c r="A16" s="15" t="n">
        <v>11</v>
      </c>
      <c r="B16" s="16" t="inlineStr">
        <is>
          <t>مبنى الإدارة بمهام نزوى الدور الأرضي</t>
        </is>
      </c>
      <c r="C16" s="15" t="n">
        <v>36</v>
      </c>
      <c r="D16" s="15" t="inlineStr">
        <is>
          <t>12V 42AH</t>
        </is>
      </c>
      <c r="E16" s="16" t="inlineStr"/>
    </row>
    <row r="17">
      <c r="A17" s="17" t="n">
        <v>12</v>
      </c>
      <c r="B17" s="18" t="inlineStr">
        <is>
          <t>مبنى الإدارة بمهام نزوى الدور الأول</t>
        </is>
      </c>
      <c r="C17" s="17" t="n">
        <v>36</v>
      </c>
      <c r="D17" s="17" t="inlineStr">
        <is>
          <t>12V 42AH</t>
        </is>
      </c>
      <c r="E17" s="18" t="inlineStr"/>
    </row>
    <row r="18">
      <c r="A18" s="15" t="n">
        <v>13</v>
      </c>
      <c r="B18" s="16" t="inlineStr">
        <is>
          <t>مركز شرطة بهلاء</t>
        </is>
      </c>
      <c r="C18" s="15" t="n">
        <v>40</v>
      </c>
      <c r="D18" s="15" t="inlineStr">
        <is>
          <t>12V 42AH</t>
        </is>
      </c>
      <c r="E18" s="16" t="inlineStr"/>
    </row>
    <row r="19">
      <c r="A19" s="17" t="n">
        <v>14</v>
      </c>
      <c r="B19" s="18" t="inlineStr">
        <is>
          <t>مركز خطمة ملاحة</t>
        </is>
      </c>
      <c r="C19" s="17" t="n">
        <v>240</v>
      </c>
      <c r="D19" s="17" t="inlineStr">
        <is>
          <t>12V 9AH</t>
        </is>
      </c>
      <c r="E19" s="18" t="inlineStr"/>
    </row>
    <row r="20">
      <c r="A20" s="15" t="n">
        <v>15</v>
      </c>
      <c r="B20" s="16" t="inlineStr">
        <is>
          <t>مبنى الخدمات بصحم</t>
        </is>
      </c>
      <c r="C20" s="15" t="n">
        <v>80</v>
      </c>
      <c r="D20" s="15" t="inlineStr">
        <is>
          <t>12V 9AH</t>
        </is>
      </c>
      <c r="E20" s="16" t="inlineStr"/>
    </row>
    <row r="21">
      <c r="A21" s="17" t="n">
        <v>16</v>
      </c>
      <c r="B21" s="18" t="inlineStr">
        <is>
          <t>مبنى الخدمات بسمائل</t>
        </is>
      </c>
      <c r="C21" s="17" t="n">
        <v>80</v>
      </c>
      <c r="D21" s="17" t="inlineStr">
        <is>
          <t>12V 9AH</t>
        </is>
      </c>
      <c r="E21" s="18" t="inlineStr"/>
    </row>
    <row r="22">
      <c r="A22" s="15" t="n">
        <v>17</v>
      </c>
      <c r="B22" s="16" t="inlineStr">
        <is>
          <t>مبنى الخدمات جعلان بني بو علي</t>
        </is>
      </c>
      <c r="C22" s="15" t="n">
        <v>96</v>
      </c>
      <c r="D22" s="15" t="inlineStr">
        <is>
          <t>12V 9AH</t>
        </is>
      </c>
      <c r="E22" s="16" t="inlineStr"/>
    </row>
    <row r="23">
      <c r="A23" s="17" t="n">
        <v>18</v>
      </c>
      <c r="B23" s="18" t="inlineStr">
        <is>
          <t>عيادة مهام نزوى</t>
        </is>
      </c>
      <c r="C23" s="17" t="n">
        <v>40</v>
      </c>
      <c r="D23" s="17" t="inlineStr">
        <is>
          <t>12V 26AH</t>
        </is>
      </c>
      <c r="E23" s="18" t="inlineStr"/>
    </row>
    <row r="24">
      <c r="A24" s="15" t="n">
        <v>19</v>
      </c>
      <c r="B24" s="16" t="inlineStr">
        <is>
          <t>مبنى الخدمات بإزكي</t>
        </is>
      </c>
      <c r="C24" s="15" t="n">
        <v>36</v>
      </c>
      <c r="D24" s="15" t="inlineStr">
        <is>
          <t>12V 42AH</t>
        </is>
      </c>
      <c r="E24" s="16" t="inlineStr"/>
    </row>
    <row r="25">
      <c r="A25" s="17" t="n">
        <v>20</v>
      </c>
      <c r="B25" s="18" t="inlineStr">
        <is>
          <t>مركز شرطة السويق</t>
        </is>
      </c>
      <c r="C25" s="17" t="n">
        <v>29</v>
      </c>
      <c r="D25" s="17" t="inlineStr">
        <is>
          <t>12V 102AH</t>
        </is>
      </c>
      <c r="E25" s="18" t="inlineStr"/>
    </row>
    <row r="26">
      <c r="A26" s="15" t="n">
        <v>21</v>
      </c>
      <c r="B26" s="16" t="inlineStr">
        <is>
          <t>مبنى الخدمات بالقرم</t>
        </is>
      </c>
      <c r="C26" s="15" t="n">
        <v>36</v>
      </c>
      <c r="D26" s="15" t="inlineStr">
        <is>
          <t>12V 42AH</t>
        </is>
      </c>
      <c r="E26" s="16" t="inlineStr"/>
    </row>
    <row r="27">
      <c r="A27" s="17" t="n">
        <v>22</v>
      </c>
      <c r="B27" s="18" t="inlineStr">
        <is>
          <t>مبنى الخدمات بالدقم (الجوازات 1)</t>
        </is>
      </c>
      <c r="C27" s="17" t="n">
        <v>40</v>
      </c>
      <c r="D27" s="17" t="inlineStr">
        <is>
          <t>12V 55AH</t>
        </is>
      </c>
      <c r="E27" s="18" t="inlineStr"/>
    </row>
    <row r="28">
      <c r="A28" s="15" t="n">
        <v>23</v>
      </c>
      <c r="B28" s="16" t="inlineStr">
        <is>
          <t>مبنى الخدمات نخل</t>
        </is>
      </c>
      <c r="C28" s="15" t="n">
        <v>120</v>
      </c>
      <c r="D28" s="15" t="inlineStr">
        <is>
          <t>12V 9AH</t>
        </is>
      </c>
      <c r="E28" s="16" t="inlineStr"/>
    </row>
    <row r="29">
      <c r="A29" s="17" t="n">
        <v>24</v>
      </c>
      <c r="B29" s="18" t="inlineStr">
        <is>
          <t>عيادة مهام السليل</t>
        </is>
      </c>
      <c r="C29" s="17" t="n">
        <v>40</v>
      </c>
      <c r="D29" s="17" t="inlineStr">
        <is>
          <t>12V 26AH</t>
        </is>
      </c>
      <c r="E29" s="18" t="inlineStr"/>
    </row>
    <row r="30">
      <c r="A30" s="15" t="n">
        <v>25</v>
      </c>
      <c r="B30" s="16" t="inlineStr">
        <is>
          <t>عيادة الخيالة بالوطية</t>
        </is>
      </c>
      <c r="C30" s="15" t="n">
        <v>40</v>
      </c>
      <c r="D30" s="15" t="inlineStr">
        <is>
          <t>12V 150AH</t>
        </is>
      </c>
      <c r="E30" s="16" t="inlineStr"/>
    </row>
    <row r="31">
      <c r="A31" s="17" t="n">
        <v>26</v>
      </c>
      <c r="B31" s="18" t="inlineStr">
        <is>
          <t>مبنى التحريات بقيادة مسقط</t>
        </is>
      </c>
      <c r="C31" s="17" t="n">
        <v>40</v>
      </c>
      <c r="D31" s="17" t="inlineStr">
        <is>
          <t>12V 42AH</t>
        </is>
      </c>
      <c r="E31" s="18" t="inlineStr"/>
    </row>
    <row r="32">
      <c r="A32" s="15" t="n">
        <v>27</v>
      </c>
      <c r="B32" s="16" t="inlineStr">
        <is>
          <t>منفذ حماسة</t>
        </is>
      </c>
      <c r="C32" s="15" t="n">
        <v>200</v>
      </c>
      <c r="D32" s="15" t="inlineStr">
        <is>
          <t>12V 9AH</t>
        </is>
      </c>
      <c r="E32" s="16" t="inlineStr"/>
    </row>
    <row r="33">
      <c r="A33" s="17" t="n">
        <v>28</v>
      </c>
      <c r="B33" s="18" t="inlineStr">
        <is>
          <t>مركز شرطة صحار</t>
        </is>
      </c>
      <c r="C33" s="17" t="n">
        <v>20</v>
      </c>
      <c r="D33" s="17" t="inlineStr">
        <is>
          <t>12V 42AH</t>
        </is>
      </c>
      <c r="E33" s="18" t="inlineStr"/>
    </row>
    <row r="34">
      <c r="A34" s="15" t="n">
        <v>29</v>
      </c>
      <c r="B34" s="16" t="inlineStr">
        <is>
          <t>عيادة مهام صور</t>
        </is>
      </c>
      <c r="C34" s="15" t="n">
        <v>120</v>
      </c>
      <c r="D34" s="15" t="inlineStr">
        <is>
          <t>12V 9AH</t>
        </is>
      </c>
      <c r="E34" s="16" t="inlineStr"/>
    </row>
    <row r="35">
      <c r="A35" s="17" t="n">
        <v>30</v>
      </c>
      <c r="B35" s="18" t="inlineStr">
        <is>
          <t>مبنى الإدارة بمهام عبري</t>
        </is>
      </c>
      <c r="C35" s="17" t="n">
        <v>36</v>
      </c>
      <c r="D35" s="17" t="inlineStr">
        <is>
          <t>12V 42AH</t>
        </is>
      </c>
      <c r="E35" s="18" t="inlineStr"/>
    </row>
    <row r="36">
      <c r="A36" s="15" t="n">
        <v>31</v>
      </c>
      <c r="B36" s="16" t="inlineStr">
        <is>
          <t>مركز شرطة الدقم</t>
        </is>
      </c>
      <c r="C36" s="15" t="n">
        <v>28</v>
      </c>
      <c r="D36" s="15" t="inlineStr">
        <is>
          <t>12V 55AH</t>
        </is>
      </c>
      <c r="E36" s="16" t="inlineStr"/>
    </row>
    <row r="37">
      <c r="A37" s="17" t="n">
        <v>32</v>
      </c>
      <c r="B37" s="18" t="inlineStr">
        <is>
          <t>مركز شرطة محوت</t>
        </is>
      </c>
      <c r="C37" s="17" t="n">
        <v>36</v>
      </c>
      <c r="D37" s="17" t="inlineStr">
        <is>
          <t>12V 65AH</t>
        </is>
      </c>
      <c r="E37" s="18" t="inlineStr"/>
    </row>
    <row r="38">
      <c r="A38" s="15" t="n">
        <v>33</v>
      </c>
      <c r="B38" s="16" t="inlineStr">
        <is>
          <t>مبنى تحريات الدقم</t>
        </is>
      </c>
      <c r="C38" s="15" t="n">
        <v>42</v>
      </c>
      <c r="D38" s="15" t="inlineStr">
        <is>
          <t>12V 40AH</t>
        </is>
      </c>
      <c r="E38" s="16" t="inlineStr"/>
    </row>
    <row r="39">
      <c r="A39" s="17" t="n">
        <v>34</v>
      </c>
      <c r="B39" s="18" t="inlineStr">
        <is>
          <t>مركز شرطة العذيبة الدور الأول</t>
        </is>
      </c>
      <c r="C39" s="17" t="n">
        <v>36</v>
      </c>
      <c r="D39" s="17" t="inlineStr">
        <is>
          <t>12V 42AH</t>
        </is>
      </c>
      <c r="E39" s="18" t="inlineStr"/>
    </row>
    <row r="40">
      <c r="A40" s="15" t="n">
        <v>35</v>
      </c>
      <c r="B40" s="16" t="inlineStr">
        <is>
          <t>مبنى الخدمات بالدقم (الجوازات 2)</t>
        </is>
      </c>
      <c r="C40" s="15" t="n">
        <v>40</v>
      </c>
      <c r="D40" s="15" t="inlineStr">
        <is>
          <t>12V 55AH</t>
        </is>
      </c>
      <c r="E40" s="16" t="inlineStr"/>
    </row>
    <row r="41">
      <c r="A41" s="17" t="n">
        <v>36</v>
      </c>
      <c r="B41" s="18" t="inlineStr">
        <is>
          <t>الإدارة العامة للمشاريع والصيانة</t>
        </is>
      </c>
      <c r="C41" s="17" t="n">
        <v>26</v>
      </c>
      <c r="D41" s="17" t="inlineStr">
        <is>
          <t>12V 26AH</t>
        </is>
      </c>
      <c r="E41" s="18" t="inlineStr"/>
    </row>
    <row r="42">
      <c r="A42" s="15" t="n">
        <v>37</v>
      </c>
      <c r="B42" s="16" t="inlineStr">
        <is>
          <t>منفذ خطم الشكلة - الجوازات (القادمون)</t>
        </is>
      </c>
      <c r="C42" s="15" t="n">
        <v>160</v>
      </c>
      <c r="D42" s="15" t="inlineStr">
        <is>
          <t>12V 9AH</t>
        </is>
      </c>
      <c r="E42" s="16" t="inlineStr"/>
    </row>
    <row r="43">
      <c r="A43" s="17" t="n">
        <v>38</v>
      </c>
      <c r="B43" s="18" t="inlineStr">
        <is>
          <t>منفذ حماسة (المغادرون)</t>
        </is>
      </c>
      <c r="C43" s="17" t="n">
        <v>200</v>
      </c>
      <c r="D43" s="17" t="inlineStr">
        <is>
          <t>12V 9AH</t>
        </is>
      </c>
      <c r="E43" s="18" t="inlineStr"/>
    </row>
    <row r="44">
      <c r="A44" s="15" t="n">
        <v>39</v>
      </c>
      <c r="B44" s="16" t="inlineStr">
        <is>
          <t>إدارة التوقيف بالداخلية (التحقيق)</t>
        </is>
      </c>
      <c r="C44" s="15" t="n">
        <v>120</v>
      </c>
      <c r="D44" s="15" t="inlineStr">
        <is>
          <t>12V 9AH</t>
        </is>
      </c>
      <c r="E44" s="16" t="inlineStr"/>
    </row>
    <row r="45">
      <c r="A45" s="17" t="n">
        <v>40</v>
      </c>
      <c r="B45" s="18" t="inlineStr">
        <is>
          <t>إدارة التوقيف بالداخلية (مراقبة الرجال)</t>
        </is>
      </c>
      <c r="C45" s="17" t="n">
        <v>120</v>
      </c>
      <c r="D45" s="17" t="inlineStr">
        <is>
          <t>12V 9AH</t>
        </is>
      </c>
      <c r="E45" s="18" t="inlineStr"/>
    </row>
    <row r="46">
      <c r="A46" s="15" t="n">
        <v>41</v>
      </c>
      <c r="B46" s="16" t="inlineStr">
        <is>
          <t>مبنى الخدمات بإزكي</t>
        </is>
      </c>
      <c r="C46" s="15" t="n">
        <v>36</v>
      </c>
      <c r="D46" s="15" t="inlineStr">
        <is>
          <t>12V 26AH</t>
        </is>
      </c>
      <c r="E46" s="16" t="inlineStr"/>
    </row>
    <row r="47">
      <c r="A47" s="17" t="n">
        <v>42</v>
      </c>
      <c r="B47" s="18" t="inlineStr">
        <is>
          <t>مبنى الخدمات بالقرم الطابق الأرضي</t>
        </is>
      </c>
      <c r="C47" s="17" t="n">
        <v>36</v>
      </c>
      <c r="D47" s="17" t="inlineStr">
        <is>
          <t>12V 39.6AH</t>
        </is>
      </c>
      <c r="E47" s="18" t="inlineStr"/>
    </row>
    <row r="48">
      <c r="A48" s="15" t="n">
        <v>43</v>
      </c>
      <c r="B48" s="16" t="inlineStr">
        <is>
          <t>مركز شرطة وادي المعاول الطابق الأول</t>
        </is>
      </c>
      <c r="C48" s="15" t="n">
        <v>120</v>
      </c>
      <c r="D48" s="15" t="inlineStr">
        <is>
          <t>12V 9AH</t>
        </is>
      </c>
      <c r="E48" s="16" t="inlineStr"/>
    </row>
    <row r="49">
      <c r="A49" s="17" t="n">
        <v>44</v>
      </c>
      <c r="B49" s="18" t="inlineStr">
        <is>
          <t>مبنى الخدمات بنخل</t>
        </is>
      </c>
      <c r="C49" s="17" t="n">
        <v>120</v>
      </c>
      <c r="D49" s="17" t="inlineStr">
        <is>
          <t>12V 9AH</t>
        </is>
      </c>
      <c r="E49" s="18" t="inlineStr"/>
    </row>
    <row r="50">
      <c r="A50" s="15" t="n">
        <v>45</v>
      </c>
      <c r="B50" s="16" t="inlineStr">
        <is>
          <t>إدارة التوقيف بجنوب الباطنة (المحكمة)</t>
        </is>
      </c>
      <c r="C50" s="15" t="n">
        <v>40</v>
      </c>
      <c r="D50" s="15" t="inlineStr">
        <is>
          <t>12V 9AH</t>
        </is>
      </c>
      <c r="E50" s="16" t="inlineStr"/>
    </row>
    <row r="51">
      <c r="A51" s="17" t="n">
        <v>46</v>
      </c>
      <c r="B51" s="18" t="inlineStr">
        <is>
          <t>مركز شرطة سمائل الطابق الأرضي</t>
        </is>
      </c>
      <c r="C51" s="17" t="n">
        <v>40</v>
      </c>
      <c r="D51" s="17" t="inlineStr">
        <is>
          <t>12V 39.6AH</t>
        </is>
      </c>
      <c r="E51" s="18" t="inlineStr"/>
    </row>
    <row r="52">
      <c r="A52" s="15" t="n">
        <v>47</v>
      </c>
      <c r="B52" s="16" t="inlineStr">
        <is>
          <t>مركز شرطة سمائل الطابق الأول</t>
        </is>
      </c>
      <c r="C52" s="15" t="n">
        <v>40</v>
      </c>
      <c r="D52" s="15" t="inlineStr">
        <is>
          <t>12V 39.6AH</t>
        </is>
      </c>
      <c r="E52" s="16" t="inlineStr"/>
    </row>
    <row r="53">
      <c r="A53" s="17" t="n">
        <v>48</v>
      </c>
      <c r="B53" s="18" t="inlineStr">
        <is>
          <t>مركز شرطة الدقم</t>
        </is>
      </c>
      <c r="C53" s="17" t="n">
        <v>28</v>
      </c>
      <c r="D53" s="17" t="inlineStr">
        <is>
          <t>12V 55AH</t>
        </is>
      </c>
      <c r="E53" s="18" t="inlineStr"/>
    </row>
    <row r="54">
      <c r="A54" s="15" t="n">
        <v>49</v>
      </c>
      <c r="B54" s="16" t="inlineStr">
        <is>
          <t>مبنى التحريات بالدقم</t>
        </is>
      </c>
      <c r="C54" s="15" t="n">
        <v>32</v>
      </c>
      <c r="D54" s="15" t="inlineStr">
        <is>
          <t>12V 40AH</t>
        </is>
      </c>
      <c r="E54" s="16" t="inlineStr"/>
    </row>
    <row r="55">
      <c r="A55" s="17" t="n">
        <v>50</v>
      </c>
      <c r="B55" s="18" t="inlineStr">
        <is>
          <t>مبنى الخدمات بسمائل</t>
        </is>
      </c>
      <c r="C55" s="17" t="n">
        <v>40</v>
      </c>
      <c r="D55" s="17" t="inlineStr">
        <is>
          <t>12V 9AH</t>
        </is>
      </c>
      <c r="E55" s="18" t="inlineStr"/>
    </row>
    <row r="56">
      <c r="A56" s="15" t="n">
        <v>51</v>
      </c>
      <c r="B56" s="16" t="inlineStr">
        <is>
          <t>مبنى خدمات الدقم الطابق الأرضي</t>
        </is>
      </c>
      <c r="C56" s="15" t="n">
        <v>40</v>
      </c>
      <c r="D56" s="15" t="inlineStr">
        <is>
          <t>12V 55AH</t>
        </is>
      </c>
      <c r="E56" s="16" t="inlineStr"/>
    </row>
    <row r="57">
      <c r="A57" s="17" t="n">
        <v>52</v>
      </c>
      <c r="B57" s="18" t="inlineStr">
        <is>
          <t>مبنى خدمات الدقم الطابق الأول</t>
        </is>
      </c>
      <c r="C57" s="17" t="n">
        <v>40</v>
      </c>
      <c r="D57" s="17" t="inlineStr">
        <is>
          <t>12V 55AH</t>
        </is>
      </c>
      <c r="E57" s="18" t="inlineStr"/>
    </row>
    <row r="58">
      <c r="A58" s="15" t="n">
        <v>53</v>
      </c>
      <c r="B58" s="16" t="inlineStr">
        <is>
          <t>وحدة المهام الخاصة بالدقم الطابق الأرضي</t>
        </is>
      </c>
      <c r="C58" s="15" t="n">
        <v>40</v>
      </c>
      <c r="D58" s="15" t="inlineStr">
        <is>
          <t>12V 26AH</t>
        </is>
      </c>
      <c r="E58" s="16" t="inlineStr"/>
    </row>
    <row r="59">
      <c r="A59" s="17" t="n">
        <v>54</v>
      </c>
      <c r="B59" s="18" t="inlineStr">
        <is>
          <t>مركز شرطة محوت</t>
        </is>
      </c>
      <c r="C59" s="17" t="n">
        <v>40</v>
      </c>
      <c r="D59" s="17" t="inlineStr">
        <is>
          <t>12V 65AH</t>
        </is>
      </c>
      <c r="E59" s="18" t="inlineStr">
        <is>
          <t>الجهاز (100KVA)</t>
        </is>
      </c>
    </row>
    <row r="60">
      <c r="A60" s="15" t="n">
        <v>55</v>
      </c>
      <c r="B60" s="16" t="inlineStr">
        <is>
          <t>مبنى الخدمات محوت</t>
        </is>
      </c>
      <c r="C60" s="15" t="n">
        <v>40</v>
      </c>
      <c r="D60" s="15" t="inlineStr">
        <is>
          <t>12V 26AH</t>
        </is>
      </c>
      <c r="E60" s="16" t="inlineStr">
        <is>
          <t>تم تركيب module جديد عدد 1</t>
        </is>
      </c>
    </row>
    <row r="61">
      <c r="A61" s="17" t="n">
        <v>56</v>
      </c>
      <c r="B61" s="18" t="inlineStr">
        <is>
          <t>وحدة المهام الخاصة بنزوى الطابق الأرضي</t>
        </is>
      </c>
      <c r="C61" s="17" t="n">
        <v>36</v>
      </c>
      <c r="D61" s="17" t="inlineStr">
        <is>
          <t>12V 39.6AH</t>
        </is>
      </c>
      <c r="E61" s="18" t="inlineStr"/>
    </row>
    <row r="62">
      <c r="A62" s="15" t="n">
        <v>57</v>
      </c>
      <c r="B62" s="16" t="inlineStr">
        <is>
          <t>وحدة المهام الخاصة بنزوى الطابق الأول</t>
        </is>
      </c>
      <c r="C62" s="15" t="n">
        <v>36</v>
      </c>
      <c r="D62" s="15" t="inlineStr">
        <is>
          <t>12V 39.6AH</t>
        </is>
      </c>
      <c r="E62" s="16" t="inlineStr"/>
    </row>
    <row r="63">
      <c r="A63" s="17" t="n">
        <v>58</v>
      </c>
      <c r="B63" s="18" t="inlineStr">
        <is>
          <t>مركز شرطة بهلاء</t>
        </is>
      </c>
      <c r="C63" s="17" t="n">
        <v>40</v>
      </c>
      <c r="D63" s="17" t="inlineStr">
        <is>
          <t>12V 39.6AH</t>
        </is>
      </c>
      <c r="E63" s="18" t="inlineStr"/>
    </row>
    <row r="64">
      <c r="A64" s="15" t="n">
        <v>59</v>
      </c>
      <c r="B64" s="16" t="inlineStr">
        <is>
          <t>مركز شرطة الحمراء الطابق الأول</t>
        </is>
      </c>
      <c r="C64" s="15" t="n">
        <v>60</v>
      </c>
      <c r="D64" s="15" t="inlineStr">
        <is>
          <t>12V 26AH</t>
        </is>
      </c>
      <c r="E64" s="16" t="inlineStr"/>
    </row>
    <row r="65">
      <c r="A65" s="17" t="n">
        <v>60</v>
      </c>
      <c r="B65" s="18" t="inlineStr">
        <is>
          <t>وحدة المهام الخاصة بعبري - الإدارة الطابق الأرضي</t>
        </is>
      </c>
      <c r="C65" s="17" t="n">
        <v>36</v>
      </c>
      <c r="D65" s="17" t="inlineStr">
        <is>
          <t>12V 39.6AH</t>
        </is>
      </c>
      <c r="E65" s="18" t="inlineStr"/>
    </row>
    <row r="66">
      <c r="A66" s="15" t="n">
        <v>61</v>
      </c>
      <c r="B66" s="16" t="inlineStr">
        <is>
          <t>وحدة المهام الخاصة بنزوى - العيادة</t>
        </is>
      </c>
      <c r="C66" s="15" t="n">
        <v>40</v>
      </c>
      <c r="D66" s="15" t="inlineStr">
        <is>
          <t>12V 26AH</t>
        </is>
      </c>
      <c r="E66" s="16" t="inlineStr"/>
    </row>
    <row r="67">
      <c r="A67" s="17" t="n">
        <v>62</v>
      </c>
      <c r="B67" s="18" t="inlineStr">
        <is>
          <t>مركز شرطة ضنك الطابق الأرضي</t>
        </is>
      </c>
      <c r="C67" s="17" t="n">
        <v>38</v>
      </c>
      <c r="D67" s="17" t="inlineStr">
        <is>
          <t>12V 39.6AH</t>
        </is>
      </c>
      <c r="E67" s="18" t="inlineStr"/>
    </row>
    <row r="68">
      <c r="A68" s="15" t="n">
        <v>63</v>
      </c>
      <c r="B68" s="16" t="inlineStr">
        <is>
          <t>وحدة المهام الخاصة بصور - العيادة</t>
        </is>
      </c>
      <c r="C68" s="15" t="n">
        <v>120</v>
      </c>
      <c r="D68" s="15" t="inlineStr">
        <is>
          <t>12V 9AH</t>
        </is>
      </c>
      <c r="E68" s="16" t="inlineStr"/>
    </row>
    <row r="69">
      <c r="A69" s="17" t="n">
        <v>64</v>
      </c>
      <c r="B69" s="18" t="inlineStr">
        <is>
          <t>مبنى الخدمات جعلان بني بوعلي</t>
        </is>
      </c>
      <c r="C69" s="17" t="n">
        <v>90</v>
      </c>
      <c r="D69" s="17" t="inlineStr">
        <is>
          <t>12V 9AH</t>
        </is>
      </c>
      <c r="E69" s="18" t="inlineStr"/>
    </row>
    <row r="70">
      <c r="A70" s="15" t="n">
        <v>65</v>
      </c>
      <c r="B70" s="16" t="inlineStr">
        <is>
          <t>مركز شرطة الكامل الطابق الأرضي</t>
        </is>
      </c>
      <c r="C70" s="15" t="n">
        <v>36</v>
      </c>
      <c r="D70" s="15" t="inlineStr">
        <is>
          <t>12V 65AH</t>
        </is>
      </c>
      <c r="E70" s="16" t="inlineStr"/>
    </row>
    <row r="71">
      <c r="A71" s="17" t="n">
        <v>66</v>
      </c>
      <c r="B71" s="18" t="inlineStr">
        <is>
          <t>مركز شرطة جعلان بني بوحسن</t>
        </is>
      </c>
      <c r="C71" s="17" t="n">
        <v>80</v>
      </c>
      <c r="D71" s="17" t="inlineStr">
        <is>
          <t>12V 9AH</t>
        </is>
      </c>
      <c r="E71" s="18" t="inlineStr"/>
    </row>
    <row r="72">
      <c r="A72" s="15" t="n">
        <v>67</v>
      </c>
      <c r="B72" s="16" t="inlineStr">
        <is>
          <t>مبنى خدمات صور الطابق الأرضي</t>
        </is>
      </c>
      <c r="C72" s="15" t="n">
        <v>62</v>
      </c>
      <c r="D72" s="15" t="inlineStr">
        <is>
          <t>12V 18AH</t>
        </is>
      </c>
      <c r="E72" s="16" t="inlineStr">
        <is>
          <t>مبنى خدمات صور الطابق الأول: نقص 2 بطارية من نوع 18AH</t>
        </is>
      </c>
    </row>
    <row r="73">
      <c r="A73" s="17" t="n">
        <v>68</v>
      </c>
      <c r="B73" s="18" t="inlineStr">
        <is>
          <t>وحدة المهام الخاصة بعبري الطابق الأول</t>
        </is>
      </c>
      <c r="C73" s="17" t="n">
        <v>36</v>
      </c>
      <c r="D73" s="17" t="inlineStr">
        <is>
          <t>12V 26AH</t>
        </is>
      </c>
      <c r="E73" s="18" t="inlineStr"/>
    </row>
    <row r="74">
      <c r="A74" s="15" t="n">
        <v>69</v>
      </c>
      <c r="B74" s="16" t="inlineStr">
        <is>
          <t>مركز شرطة الوطية الطابق الأرضي</t>
        </is>
      </c>
      <c r="C74" s="15" t="n">
        <v>40</v>
      </c>
      <c r="D74" s="15" t="inlineStr">
        <is>
          <t>12V 39.6AH</t>
        </is>
      </c>
      <c r="E74" s="16" t="inlineStr"/>
    </row>
    <row r="75">
      <c r="A75" s="17" t="n">
        <v>70</v>
      </c>
      <c r="B75" s="18" t="inlineStr">
        <is>
          <t>مركز شرطة الوطية الطابق الأول</t>
        </is>
      </c>
      <c r="C75" s="17" t="n">
        <v>29</v>
      </c>
      <c r="D75" s="17" t="inlineStr">
        <is>
          <t>12V 39.6AH</t>
        </is>
      </c>
      <c r="E75" s="18" t="inlineStr"/>
    </row>
    <row r="76">
      <c r="A76" s="15" t="n">
        <v>71</v>
      </c>
      <c r="B76" s="16" t="inlineStr">
        <is>
          <t>وحدة المهام الخاصة بالخوض الطابق الأول</t>
        </is>
      </c>
      <c r="C76" s="15" t="n">
        <v>36</v>
      </c>
      <c r="D76" s="15" t="inlineStr">
        <is>
          <t>12V 39.6AH</t>
        </is>
      </c>
      <c r="E76" s="16" t="inlineStr"/>
    </row>
    <row r="77">
      <c r="A77" s="17" t="n">
        <v>72</v>
      </c>
      <c r="B77" s="18" t="inlineStr">
        <is>
          <t>مستشفى المدينة الطبية - قسم تقنية المعلومات</t>
        </is>
      </c>
      <c r="C77" s="17" t="n">
        <v>20</v>
      </c>
      <c r="D77" s="17" t="inlineStr">
        <is>
          <t>12V 27AH</t>
        </is>
      </c>
      <c r="E77" s="18" t="inlineStr"/>
    </row>
    <row r="78">
      <c r="A78" s="15" t="n">
        <v>73</v>
      </c>
      <c r="B78" s="16" t="inlineStr">
        <is>
          <t>الإدارة العامة للجوازات والأحوال المدنية - مبنى الأحوال المدنية رقم 2 (الوافدين)</t>
        </is>
      </c>
      <c r="C78" s="15" t="n">
        <v>36</v>
      </c>
      <c r="D78" s="15" t="inlineStr">
        <is>
          <t>12V 66AH</t>
        </is>
      </c>
      <c r="E78" s="1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4" customWidth="1" min="4" max="4"/>
    <col width="18" customWidth="1" min="5" max="5"/>
    <col width="14" customWidth="1" min="6" max="6"/>
    <col width="14" customWidth="1" min="7" max="7"/>
    <col width="16" customWidth="1" min="8" max="8"/>
    <col width="14" customWidth="1" min="9" max="9"/>
    <col width="20" customWidth="1" min="10" max="10"/>
    <col width="12" customWidth="1" min="11" max="11"/>
    <col width="18" customWidth="1" min="12" max="12"/>
    <col width="24" customWidth="1" min="13" max="13"/>
  </cols>
  <sheetData>
    <row r="1" ht="30" customHeight="1">
      <c r="A1" s="1" t="inlineStr">
        <is>
          <t>متابعة طلبات بطاريات أجهزة الـ UPS لعام 2025</t>
        </is>
      </c>
    </row>
    <row r="2" ht="28" customHeight="1">
      <c r="A2" s="2" t="inlineStr">
        <is>
          <t>قالب فارغ للتعبئة - الخلايا ذات التظليل الأصفر تُعبَّأ يدوياً، والأعمدة السوداء والملخص أعلى الجدول محسوبة تلقائياً بصيغ. الصف رقم 9 مثال توضيحي فقط، احذف بياناته أو استبدلها ببيانات حقيقية.</t>
        </is>
      </c>
    </row>
    <row r="4">
      <c r="M4" s="3">
        <f>COUNTA(B9:B43)</f>
        <v/>
      </c>
    </row>
    <row r="5">
      <c r="M5" s="4">
        <f>SUM(F9:F43)</f>
        <v/>
      </c>
    </row>
    <row r="6">
      <c r="M6" s="4">
        <f>SUM(I9:I43)</f>
        <v/>
      </c>
    </row>
    <row r="7">
      <c r="M7" s="4">
        <f>SUM(F9:F43)-SUM(I9:I43)</f>
        <v/>
      </c>
    </row>
    <row r="8" ht="34" customHeight="1">
      <c r="A8" s="5" t="inlineStr">
        <is>
          <t>م</t>
        </is>
      </c>
      <c r="B8" s="5" t="inlineStr">
        <is>
          <t>رقم أمر الشراء</t>
        </is>
      </c>
      <c r="C8" s="5" t="inlineStr">
        <is>
          <t>المورّد</t>
        </is>
      </c>
      <c r="D8" s="5" t="inlineStr">
        <is>
          <t>الموقع / الجهة المستفيدة</t>
        </is>
      </c>
      <c r="E8" s="5" t="inlineStr">
        <is>
          <t>سعة/نوع البطارية</t>
        </is>
      </c>
      <c r="F8" s="5" t="inlineStr">
        <is>
          <t>الكمية المطلوبة</t>
        </is>
      </c>
      <c r="G8" s="5" t="inlineStr">
        <is>
          <t>تاريخ الطلب</t>
        </is>
      </c>
      <c r="H8" s="5" t="inlineStr">
        <is>
          <t>تاريخ التسليم المتوقع</t>
        </is>
      </c>
      <c r="I8" s="5" t="inlineStr">
        <is>
          <t>الكمية المستلمة</t>
        </is>
      </c>
      <c r="J8" s="5" t="inlineStr">
        <is>
          <t>الكمية المتبقية (بانتظار التسليم)</t>
        </is>
      </c>
      <c r="K8" s="5" t="inlineStr">
        <is>
          <t>نسبة الإنجاز</t>
        </is>
      </c>
      <c r="L8" s="5" t="inlineStr">
        <is>
          <t>الحالة</t>
        </is>
      </c>
      <c r="M8" s="5" t="inlineStr">
        <is>
          <t>ملاحظات</t>
        </is>
      </c>
    </row>
    <row r="9">
      <c r="A9" s="6">
        <f>ROW()-8</f>
        <v/>
      </c>
      <c r="B9" s="7" t="inlineStr">
        <is>
          <t>PO-2025-001</t>
        </is>
      </c>
      <c r="C9" s="7" t="inlineStr">
        <is>
          <t>شركة المثال للطاقة</t>
        </is>
      </c>
      <c r="D9" s="7" t="inlineStr">
        <is>
          <t>مثال: مركز شرطة صحار</t>
        </is>
      </c>
      <c r="E9" s="7" t="inlineStr">
        <is>
          <t>12V 100Ah</t>
        </is>
      </c>
      <c r="F9" s="8" t="n">
        <v>40</v>
      </c>
      <c r="G9" s="9" t="n">
        <v>45689</v>
      </c>
      <c r="H9" s="9" t="n">
        <v>45748</v>
      </c>
      <c r="I9" s="8" t="n">
        <v>25</v>
      </c>
      <c r="J9" s="10">
        <f>IF(F9="","",F9-I9)</f>
        <v/>
      </c>
      <c r="K9" s="11">
        <f>IF(F9="","",I9/F9)</f>
        <v/>
      </c>
      <c r="L9" s="12">
        <f>IF(F9="","",IF(I9=0,"بانتظار التسليم",IF(I9&gt;=F9,"تم الاستلام بالكامل","استلام جزئي")))</f>
        <v/>
      </c>
      <c r="M9" s="7" t="inlineStr">
        <is>
          <t>مثال توضيحي - استبدل هذا الصف ببيانات حقيقية</t>
        </is>
      </c>
    </row>
    <row r="10">
      <c r="A10" s="6">
        <f>ROW()-8</f>
        <v/>
      </c>
      <c r="B10" s="7" t="n"/>
      <c r="C10" s="7" t="n"/>
      <c r="D10" s="7" t="n"/>
      <c r="E10" s="7" t="n"/>
      <c r="F10" s="8" t="n"/>
      <c r="G10" s="9" t="n"/>
      <c r="H10" s="9" t="n"/>
      <c r="I10" s="8" t="n"/>
      <c r="J10" s="10">
        <f>IF(F10="","",F10-I10)</f>
        <v/>
      </c>
      <c r="K10" s="11">
        <f>IF(F10="","",I10/F10)</f>
        <v/>
      </c>
      <c r="L10" s="12">
        <f>IF(F10="","",IF(I10=0,"بانتظار التسليم",IF(I10&gt;=F10,"تم الاستلام بالكامل","استلام جزئي")))</f>
        <v/>
      </c>
      <c r="M10" s="7" t="n"/>
    </row>
    <row r="11">
      <c r="A11" s="6">
        <f>ROW()-8</f>
        <v/>
      </c>
      <c r="B11" s="7" t="n"/>
      <c r="C11" s="7" t="n"/>
      <c r="D11" s="7" t="n"/>
      <c r="E11" s="7" t="n"/>
      <c r="F11" s="8" t="n"/>
      <c r="G11" s="9" t="n"/>
      <c r="H11" s="9" t="n"/>
      <c r="I11" s="8" t="n"/>
      <c r="J11" s="10">
        <f>IF(F11="","",F11-I11)</f>
        <v/>
      </c>
      <c r="K11" s="11">
        <f>IF(F11="","",I11/F11)</f>
        <v/>
      </c>
      <c r="L11" s="12">
        <f>IF(F11="","",IF(I11=0,"بانتظار التسليم",IF(I11&gt;=F11,"تم الاستلام بالكامل","استلام جزئي")))</f>
        <v/>
      </c>
      <c r="M11" s="7" t="n"/>
    </row>
    <row r="12">
      <c r="A12" s="6">
        <f>ROW()-8</f>
        <v/>
      </c>
      <c r="B12" s="7" t="n"/>
      <c r="C12" s="7" t="n"/>
      <c r="D12" s="7" t="n"/>
      <c r="E12" s="7" t="n"/>
      <c r="F12" s="8" t="n"/>
      <c r="G12" s="9" t="n"/>
      <c r="H12" s="9" t="n"/>
      <c r="I12" s="8" t="n"/>
      <c r="J12" s="10">
        <f>IF(F12="","",F12-I12)</f>
        <v/>
      </c>
      <c r="K12" s="11">
        <f>IF(F12="","",I12/F12)</f>
        <v/>
      </c>
      <c r="L12" s="12">
        <f>IF(F12="","",IF(I12=0,"بانتظار التسليم",IF(I12&gt;=F12,"تم الاستلام بالكامل","استلام جزئي")))</f>
        <v/>
      </c>
      <c r="M12" s="7" t="n"/>
    </row>
    <row r="13">
      <c r="A13" s="6">
        <f>ROW()-8</f>
        <v/>
      </c>
      <c r="B13" s="7" t="n"/>
      <c r="C13" s="7" t="n"/>
      <c r="D13" s="7" t="n"/>
      <c r="E13" s="7" t="n"/>
      <c r="F13" s="8" t="n"/>
      <c r="G13" s="9" t="n"/>
      <c r="H13" s="9" t="n"/>
      <c r="I13" s="8" t="n"/>
      <c r="J13" s="10">
        <f>IF(F13="","",F13-I13)</f>
        <v/>
      </c>
      <c r="K13" s="11">
        <f>IF(F13="","",I13/F13)</f>
        <v/>
      </c>
      <c r="L13" s="12">
        <f>IF(F13="","",IF(I13=0,"بانتظار التسليم",IF(I13&gt;=F13,"تم الاستلام بالكامل","استلام جزئي")))</f>
        <v/>
      </c>
      <c r="M13" s="7" t="n"/>
    </row>
    <row r="14">
      <c r="A14" s="6">
        <f>ROW()-8</f>
        <v/>
      </c>
      <c r="B14" s="7" t="n"/>
      <c r="C14" s="7" t="n"/>
      <c r="D14" s="7" t="n"/>
      <c r="E14" s="7" t="n"/>
      <c r="F14" s="8" t="n"/>
      <c r="G14" s="9" t="n"/>
      <c r="H14" s="9" t="n"/>
      <c r="I14" s="8" t="n"/>
      <c r="J14" s="10">
        <f>IF(F14="","",F14-I14)</f>
        <v/>
      </c>
      <c r="K14" s="11">
        <f>IF(F14="","",I14/F14)</f>
        <v/>
      </c>
      <c r="L14" s="12">
        <f>IF(F14="","",IF(I14=0,"بانتظار التسليم",IF(I14&gt;=F14,"تم الاستلام بالكامل","استلام جزئي")))</f>
        <v/>
      </c>
      <c r="M14" s="7" t="n"/>
    </row>
    <row r="15">
      <c r="A15" s="6">
        <f>ROW()-8</f>
        <v/>
      </c>
      <c r="B15" s="7" t="n"/>
      <c r="C15" s="7" t="n"/>
      <c r="D15" s="7" t="n"/>
      <c r="E15" s="7" t="n"/>
      <c r="F15" s="8" t="n"/>
      <c r="G15" s="9" t="n"/>
      <c r="H15" s="9" t="n"/>
      <c r="I15" s="8" t="n"/>
      <c r="J15" s="10">
        <f>IF(F15="","",F15-I15)</f>
        <v/>
      </c>
      <c r="K15" s="11">
        <f>IF(F15="","",I15/F15)</f>
        <v/>
      </c>
      <c r="L15" s="12">
        <f>IF(F15="","",IF(I15=0,"بانتظار التسليم",IF(I15&gt;=F15,"تم الاستلام بالكامل","استلام جزئي")))</f>
        <v/>
      </c>
      <c r="M15" s="7" t="n"/>
    </row>
    <row r="16">
      <c r="A16" s="6">
        <f>ROW()-8</f>
        <v/>
      </c>
      <c r="B16" s="7" t="n"/>
      <c r="C16" s="7" t="n"/>
      <c r="D16" s="7" t="n"/>
      <c r="E16" s="7" t="n"/>
      <c r="F16" s="8" t="n"/>
      <c r="G16" s="9" t="n"/>
      <c r="H16" s="9" t="n"/>
      <c r="I16" s="8" t="n"/>
      <c r="J16" s="10">
        <f>IF(F16="","",F16-I16)</f>
        <v/>
      </c>
      <c r="K16" s="11">
        <f>IF(F16="","",I16/F16)</f>
        <v/>
      </c>
      <c r="L16" s="12">
        <f>IF(F16="","",IF(I16=0,"بانتظار التسليم",IF(I16&gt;=F16,"تم الاستلام بالكامل","استلام جزئي")))</f>
        <v/>
      </c>
      <c r="M16" s="7" t="n"/>
    </row>
    <row r="17">
      <c r="A17" s="6">
        <f>ROW()-8</f>
        <v/>
      </c>
      <c r="B17" s="7" t="n"/>
      <c r="C17" s="7" t="n"/>
      <c r="D17" s="7" t="n"/>
      <c r="E17" s="7" t="n"/>
      <c r="F17" s="8" t="n"/>
      <c r="G17" s="9" t="n"/>
      <c r="H17" s="9" t="n"/>
      <c r="I17" s="8" t="n"/>
      <c r="J17" s="10">
        <f>IF(F17="","",F17-I17)</f>
        <v/>
      </c>
      <c r="K17" s="11">
        <f>IF(F17="","",I17/F17)</f>
        <v/>
      </c>
      <c r="L17" s="12">
        <f>IF(F17="","",IF(I17=0,"بانتظار التسليم",IF(I17&gt;=F17,"تم الاستلام بالكامل","استلام جزئي")))</f>
        <v/>
      </c>
      <c r="M17" s="7" t="n"/>
    </row>
    <row r="18">
      <c r="A18" s="6">
        <f>ROW()-8</f>
        <v/>
      </c>
      <c r="B18" s="7" t="n"/>
      <c r="C18" s="7" t="n"/>
      <c r="D18" s="7" t="n"/>
      <c r="E18" s="7" t="n"/>
      <c r="F18" s="8" t="n"/>
      <c r="G18" s="9" t="n"/>
      <c r="H18" s="9" t="n"/>
      <c r="I18" s="8" t="n"/>
      <c r="J18" s="10">
        <f>IF(F18="","",F18-I18)</f>
        <v/>
      </c>
      <c r="K18" s="11">
        <f>IF(F18="","",I18/F18)</f>
        <v/>
      </c>
      <c r="L18" s="12">
        <f>IF(F18="","",IF(I18=0,"بانتظار التسليم",IF(I18&gt;=F18,"تم الاستلام بالكامل","استلام جزئي")))</f>
        <v/>
      </c>
      <c r="M18" s="7" t="n"/>
    </row>
    <row r="19">
      <c r="A19" s="6">
        <f>ROW()-8</f>
        <v/>
      </c>
      <c r="B19" s="7" t="n"/>
      <c r="C19" s="7" t="n"/>
      <c r="D19" s="7" t="n"/>
      <c r="E19" s="7" t="n"/>
      <c r="F19" s="8" t="n"/>
      <c r="G19" s="9" t="n"/>
      <c r="H19" s="9" t="n"/>
      <c r="I19" s="8" t="n"/>
      <c r="J19" s="10">
        <f>IF(F19="","",F19-I19)</f>
        <v/>
      </c>
      <c r="K19" s="11">
        <f>IF(F19="","",I19/F19)</f>
        <v/>
      </c>
      <c r="L19" s="12">
        <f>IF(F19="","",IF(I19=0,"بانتظار التسليم",IF(I19&gt;=F19,"تم الاستلام بالكامل","استلام جزئي")))</f>
        <v/>
      </c>
      <c r="M19" s="7" t="n"/>
    </row>
    <row r="20">
      <c r="A20" s="6">
        <f>ROW()-8</f>
        <v/>
      </c>
      <c r="B20" s="7" t="n"/>
      <c r="C20" s="7" t="n"/>
      <c r="D20" s="7" t="n"/>
      <c r="E20" s="7" t="n"/>
      <c r="F20" s="8" t="n"/>
      <c r="G20" s="9" t="n"/>
      <c r="H20" s="9" t="n"/>
      <c r="I20" s="8" t="n"/>
      <c r="J20" s="10">
        <f>IF(F20="","",F20-I20)</f>
        <v/>
      </c>
      <c r="K20" s="11">
        <f>IF(F20="","",I20/F20)</f>
        <v/>
      </c>
      <c r="L20" s="12">
        <f>IF(F20="","",IF(I20=0,"بانتظار التسليم",IF(I20&gt;=F20,"تم الاستلام بالكامل","استلام جزئي")))</f>
        <v/>
      </c>
      <c r="M20" s="7" t="n"/>
    </row>
    <row r="21">
      <c r="A21" s="6">
        <f>ROW()-8</f>
        <v/>
      </c>
      <c r="B21" s="7" t="n"/>
      <c r="C21" s="7" t="n"/>
      <c r="D21" s="7" t="n"/>
      <c r="E21" s="7" t="n"/>
      <c r="F21" s="8" t="n"/>
      <c r="G21" s="9" t="n"/>
      <c r="H21" s="9" t="n"/>
      <c r="I21" s="8" t="n"/>
      <c r="J21" s="10">
        <f>IF(F21="","",F21-I21)</f>
        <v/>
      </c>
      <c r="K21" s="11">
        <f>IF(F21="","",I21/F21)</f>
        <v/>
      </c>
      <c r="L21" s="12">
        <f>IF(F21="","",IF(I21=0,"بانتظار التسليم",IF(I21&gt;=F21,"تم الاستلام بالكامل","استلام جزئي")))</f>
        <v/>
      </c>
      <c r="M21" s="7" t="n"/>
    </row>
    <row r="22">
      <c r="A22" s="6">
        <f>ROW()-8</f>
        <v/>
      </c>
      <c r="B22" s="7" t="n"/>
      <c r="C22" s="7" t="n"/>
      <c r="D22" s="7" t="n"/>
      <c r="E22" s="7" t="n"/>
      <c r="F22" s="8" t="n"/>
      <c r="G22" s="9" t="n"/>
      <c r="H22" s="9" t="n"/>
      <c r="I22" s="8" t="n"/>
      <c r="J22" s="10">
        <f>IF(F22="","",F22-I22)</f>
        <v/>
      </c>
      <c r="K22" s="11">
        <f>IF(F22="","",I22/F22)</f>
        <v/>
      </c>
      <c r="L22" s="12">
        <f>IF(F22="","",IF(I22=0,"بانتظار التسليم",IF(I22&gt;=F22,"تم الاستلام بالكامل","استلام جزئي")))</f>
        <v/>
      </c>
      <c r="M22" s="7" t="n"/>
    </row>
    <row r="23">
      <c r="A23" s="6">
        <f>ROW()-8</f>
        <v/>
      </c>
      <c r="B23" s="7" t="n"/>
      <c r="C23" s="7" t="n"/>
      <c r="D23" s="7" t="n"/>
      <c r="E23" s="7" t="n"/>
      <c r="F23" s="8" t="n"/>
      <c r="G23" s="9" t="n"/>
      <c r="H23" s="9" t="n"/>
      <c r="I23" s="8" t="n"/>
      <c r="J23" s="10">
        <f>IF(F23="","",F23-I23)</f>
        <v/>
      </c>
      <c r="K23" s="11">
        <f>IF(F23="","",I23/F23)</f>
        <v/>
      </c>
      <c r="L23" s="12">
        <f>IF(F23="","",IF(I23=0,"بانتظار التسليم",IF(I23&gt;=F23,"تم الاستلام بالكامل","استلام جزئي")))</f>
        <v/>
      </c>
      <c r="M23" s="7" t="n"/>
    </row>
    <row r="24">
      <c r="A24" s="6">
        <f>ROW()-8</f>
        <v/>
      </c>
      <c r="B24" s="7" t="n"/>
      <c r="C24" s="7" t="n"/>
      <c r="D24" s="7" t="n"/>
      <c r="E24" s="7" t="n"/>
      <c r="F24" s="8" t="n"/>
      <c r="G24" s="9" t="n"/>
      <c r="H24" s="9" t="n"/>
      <c r="I24" s="8" t="n"/>
      <c r="J24" s="10">
        <f>IF(F24="","",F24-I24)</f>
        <v/>
      </c>
      <c r="K24" s="11">
        <f>IF(F24="","",I24/F24)</f>
        <v/>
      </c>
      <c r="L24" s="12">
        <f>IF(F24="","",IF(I24=0,"بانتظار التسليم",IF(I24&gt;=F24,"تم الاستلام بالكامل","استلام جزئي")))</f>
        <v/>
      </c>
      <c r="M24" s="7" t="n"/>
    </row>
    <row r="25">
      <c r="A25" s="6">
        <f>ROW()-8</f>
        <v/>
      </c>
      <c r="B25" s="7" t="n"/>
      <c r="C25" s="7" t="n"/>
      <c r="D25" s="7" t="n"/>
      <c r="E25" s="7" t="n"/>
      <c r="F25" s="8" t="n"/>
      <c r="G25" s="9" t="n"/>
      <c r="H25" s="9" t="n"/>
      <c r="I25" s="8" t="n"/>
      <c r="J25" s="10">
        <f>IF(F25="","",F25-I25)</f>
        <v/>
      </c>
      <c r="K25" s="11">
        <f>IF(F25="","",I25/F25)</f>
        <v/>
      </c>
      <c r="L25" s="12">
        <f>IF(F25="","",IF(I25=0,"بانتظار التسليم",IF(I25&gt;=F25,"تم الاستلام بالكامل","استلام جزئي")))</f>
        <v/>
      </c>
      <c r="M25" s="7" t="n"/>
    </row>
    <row r="26">
      <c r="A26" s="6">
        <f>ROW()-8</f>
        <v/>
      </c>
      <c r="B26" s="7" t="n"/>
      <c r="C26" s="7" t="n"/>
      <c r="D26" s="7" t="n"/>
      <c r="E26" s="7" t="n"/>
      <c r="F26" s="8" t="n"/>
      <c r="G26" s="9" t="n"/>
      <c r="H26" s="9" t="n"/>
      <c r="I26" s="8" t="n"/>
      <c r="J26" s="10">
        <f>IF(F26="","",F26-I26)</f>
        <v/>
      </c>
      <c r="K26" s="11">
        <f>IF(F26="","",I26/F26)</f>
        <v/>
      </c>
      <c r="L26" s="12">
        <f>IF(F26="","",IF(I26=0,"بانتظار التسليم",IF(I26&gt;=F26,"تم الاستلام بالكامل","استلام جزئي")))</f>
        <v/>
      </c>
      <c r="M26" s="7" t="n"/>
    </row>
    <row r="27">
      <c r="A27" s="6">
        <f>ROW()-8</f>
        <v/>
      </c>
      <c r="B27" s="7" t="n"/>
      <c r="C27" s="7" t="n"/>
      <c r="D27" s="7" t="n"/>
      <c r="E27" s="7" t="n"/>
      <c r="F27" s="8" t="n"/>
      <c r="G27" s="9" t="n"/>
      <c r="H27" s="9" t="n"/>
      <c r="I27" s="8" t="n"/>
      <c r="J27" s="10">
        <f>IF(F27="","",F27-I27)</f>
        <v/>
      </c>
      <c r="K27" s="11">
        <f>IF(F27="","",I27/F27)</f>
        <v/>
      </c>
      <c r="L27" s="12">
        <f>IF(F27="","",IF(I27=0,"بانتظار التسليم",IF(I27&gt;=F27,"تم الاستلام بالكامل","استلام جزئي")))</f>
        <v/>
      </c>
      <c r="M27" s="7" t="n"/>
    </row>
    <row r="28">
      <c r="A28" s="6">
        <f>ROW()-8</f>
        <v/>
      </c>
      <c r="B28" s="7" t="n"/>
      <c r="C28" s="7" t="n"/>
      <c r="D28" s="7" t="n"/>
      <c r="E28" s="7" t="n"/>
      <c r="F28" s="8" t="n"/>
      <c r="G28" s="9" t="n"/>
      <c r="H28" s="9" t="n"/>
      <c r="I28" s="8" t="n"/>
      <c r="J28" s="10">
        <f>IF(F28="","",F28-I28)</f>
        <v/>
      </c>
      <c r="K28" s="11">
        <f>IF(F28="","",I28/F28)</f>
        <v/>
      </c>
      <c r="L28" s="12">
        <f>IF(F28="","",IF(I28=0,"بانتظار التسليم",IF(I28&gt;=F28,"تم الاستلام بالكامل","استلام جزئي")))</f>
        <v/>
      </c>
      <c r="M28" s="7" t="n"/>
    </row>
    <row r="29">
      <c r="A29" s="6">
        <f>ROW()-8</f>
        <v/>
      </c>
      <c r="B29" s="7" t="n"/>
      <c r="C29" s="7" t="n"/>
      <c r="D29" s="7" t="n"/>
      <c r="E29" s="7" t="n"/>
      <c r="F29" s="8" t="n"/>
      <c r="G29" s="9" t="n"/>
      <c r="H29" s="9" t="n"/>
      <c r="I29" s="8" t="n"/>
      <c r="J29" s="10">
        <f>IF(F29="","",F29-I29)</f>
        <v/>
      </c>
      <c r="K29" s="11">
        <f>IF(F29="","",I29/F29)</f>
        <v/>
      </c>
      <c r="L29" s="12">
        <f>IF(F29="","",IF(I29=0,"بانتظار التسليم",IF(I29&gt;=F29,"تم الاستلام بالكامل","استلام جزئي")))</f>
        <v/>
      </c>
      <c r="M29" s="7" t="n"/>
    </row>
    <row r="30">
      <c r="A30" s="6">
        <f>ROW()-8</f>
        <v/>
      </c>
      <c r="B30" s="7" t="n"/>
      <c r="C30" s="7" t="n"/>
      <c r="D30" s="7" t="n"/>
      <c r="E30" s="7" t="n"/>
      <c r="F30" s="8" t="n"/>
      <c r="G30" s="9" t="n"/>
      <c r="H30" s="9" t="n"/>
      <c r="I30" s="8" t="n"/>
      <c r="J30" s="10">
        <f>IF(F30="","",F30-I30)</f>
        <v/>
      </c>
      <c r="K30" s="11">
        <f>IF(F30="","",I30/F30)</f>
        <v/>
      </c>
      <c r="L30" s="12">
        <f>IF(F30="","",IF(I30=0,"بانتظار التسليم",IF(I30&gt;=F30,"تم الاستلام بالكامل","استلام جزئي")))</f>
        <v/>
      </c>
      <c r="M30" s="7" t="n"/>
    </row>
    <row r="31">
      <c r="A31" s="6">
        <f>ROW()-8</f>
        <v/>
      </c>
      <c r="B31" s="7" t="n"/>
      <c r="C31" s="7" t="n"/>
      <c r="D31" s="7" t="n"/>
      <c r="E31" s="7" t="n"/>
      <c r="F31" s="8" t="n"/>
      <c r="G31" s="9" t="n"/>
      <c r="H31" s="9" t="n"/>
      <c r="I31" s="8" t="n"/>
      <c r="J31" s="10">
        <f>IF(F31="","",F31-I31)</f>
        <v/>
      </c>
      <c r="K31" s="11">
        <f>IF(F31="","",I31/F31)</f>
        <v/>
      </c>
      <c r="L31" s="12">
        <f>IF(F31="","",IF(I31=0,"بانتظار التسليم",IF(I31&gt;=F31,"تم الاستلام بالكامل","استلام جزئي")))</f>
        <v/>
      </c>
      <c r="M31" s="7" t="n"/>
    </row>
    <row r="32">
      <c r="A32" s="6">
        <f>ROW()-8</f>
        <v/>
      </c>
      <c r="B32" s="7" t="n"/>
      <c r="C32" s="7" t="n"/>
      <c r="D32" s="7" t="n"/>
      <c r="E32" s="7" t="n"/>
      <c r="F32" s="8" t="n"/>
      <c r="G32" s="9" t="n"/>
      <c r="H32" s="9" t="n"/>
      <c r="I32" s="8" t="n"/>
      <c r="J32" s="10">
        <f>IF(F32="","",F32-I32)</f>
        <v/>
      </c>
      <c r="K32" s="11">
        <f>IF(F32="","",I32/F32)</f>
        <v/>
      </c>
      <c r="L32" s="12">
        <f>IF(F32="","",IF(I32=0,"بانتظار التسليم",IF(I32&gt;=F32,"تم الاستلام بالكامل","استلام جزئي")))</f>
        <v/>
      </c>
      <c r="M32" s="7" t="n"/>
    </row>
    <row r="33">
      <c r="A33" s="6">
        <f>ROW()-8</f>
        <v/>
      </c>
      <c r="B33" s="7" t="n"/>
      <c r="C33" s="7" t="n"/>
      <c r="D33" s="7" t="n"/>
      <c r="E33" s="7" t="n"/>
      <c r="F33" s="8" t="n"/>
      <c r="G33" s="9" t="n"/>
      <c r="H33" s="9" t="n"/>
      <c r="I33" s="8" t="n"/>
      <c r="J33" s="10">
        <f>IF(F33="","",F33-I33)</f>
        <v/>
      </c>
      <c r="K33" s="11">
        <f>IF(F33="","",I33/F33)</f>
        <v/>
      </c>
      <c r="L33" s="12">
        <f>IF(F33="","",IF(I33=0,"بانتظار التسليم",IF(I33&gt;=F33,"تم الاستلام بالكامل","استلام جزئي")))</f>
        <v/>
      </c>
      <c r="M33" s="7" t="n"/>
    </row>
    <row r="34">
      <c r="A34" s="6">
        <f>ROW()-8</f>
        <v/>
      </c>
      <c r="B34" s="7" t="n"/>
      <c r="C34" s="7" t="n"/>
      <c r="D34" s="7" t="n"/>
      <c r="E34" s="7" t="n"/>
      <c r="F34" s="8" t="n"/>
      <c r="G34" s="9" t="n"/>
      <c r="H34" s="9" t="n"/>
      <c r="I34" s="8" t="n"/>
      <c r="J34" s="10">
        <f>IF(F34="","",F34-I34)</f>
        <v/>
      </c>
      <c r="K34" s="11">
        <f>IF(F34="","",I34/F34)</f>
        <v/>
      </c>
      <c r="L34" s="12">
        <f>IF(F34="","",IF(I34=0,"بانتظار التسليم",IF(I34&gt;=F34,"تم الاستلام بالكامل","استلام جزئي")))</f>
        <v/>
      </c>
      <c r="M34" s="7" t="n"/>
    </row>
    <row r="35">
      <c r="A35" s="6">
        <f>ROW()-8</f>
        <v/>
      </c>
      <c r="B35" s="7" t="n"/>
      <c r="C35" s="7" t="n"/>
      <c r="D35" s="7" t="n"/>
      <c r="E35" s="7" t="n"/>
      <c r="F35" s="8" t="n"/>
      <c r="G35" s="9" t="n"/>
      <c r="H35" s="9" t="n"/>
      <c r="I35" s="8" t="n"/>
      <c r="J35" s="10">
        <f>IF(F35="","",F35-I35)</f>
        <v/>
      </c>
      <c r="K35" s="11">
        <f>IF(F35="","",I35/F35)</f>
        <v/>
      </c>
      <c r="L35" s="12">
        <f>IF(F35="","",IF(I35=0,"بانتظار التسليم",IF(I35&gt;=F35,"تم الاستلام بالكامل","استلام جزئي")))</f>
        <v/>
      </c>
      <c r="M35" s="7" t="n"/>
    </row>
    <row r="36">
      <c r="A36" s="6">
        <f>ROW()-8</f>
        <v/>
      </c>
      <c r="B36" s="7" t="n"/>
      <c r="C36" s="7" t="n"/>
      <c r="D36" s="7" t="n"/>
      <c r="E36" s="7" t="n"/>
      <c r="F36" s="8" t="n"/>
      <c r="G36" s="9" t="n"/>
      <c r="H36" s="9" t="n"/>
      <c r="I36" s="8" t="n"/>
      <c r="J36" s="10">
        <f>IF(F36="","",F36-I36)</f>
        <v/>
      </c>
      <c r="K36" s="11">
        <f>IF(F36="","",I36/F36)</f>
        <v/>
      </c>
      <c r="L36" s="12">
        <f>IF(F36="","",IF(I36=0,"بانتظار التسليم",IF(I36&gt;=F36,"تم الاستلام بالكامل","استلام جزئي")))</f>
        <v/>
      </c>
      <c r="M36" s="7" t="n"/>
    </row>
    <row r="37">
      <c r="A37" s="6">
        <f>ROW()-8</f>
        <v/>
      </c>
      <c r="B37" s="7" t="n"/>
      <c r="C37" s="7" t="n"/>
      <c r="D37" s="7" t="n"/>
      <c r="E37" s="7" t="n"/>
      <c r="F37" s="8" t="n"/>
      <c r="G37" s="9" t="n"/>
      <c r="H37" s="9" t="n"/>
      <c r="I37" s="8" t="n"/>
      <c r="J37" s="10">
        <f>IF(F37="","",F37-I37)</f>
        <v/>
      </c>
      <c r="K37" s="11">
        <f>IF(F37="","",I37/F37)</f>
        <v/>
      </c>
      <c r="L37" s="12">
        <f>IF(F37="","",IF(I37=0,"بانتظار التسليم",IF(I37&gt;=F37,"تم الاستلام بالكامل","استلام جزئي")))</f>
        <v/>
      </c>
      <c r="M37" s="7" t="n"/>
    </row>
    <row r="38">
      <c r="A38" s="6">
        <f>ROW()-8</f>
        <v/>
      </c>
      <c r="B38" s="7" t="n"/>
      <c r="C38" s="7" t="n"/>
      <c r="D38" s="7" t="n"/>
      <c r="E38" s="7" t="n"/>
      <c r="F38" s="8" t="n"/>
      <c r="G38" s="9" t="n"/>
      <c r="H38" s="9" t="n"/>
      <c r="I38" s="8" t="n"/>
      <c r="J38" s="10">
        <f>IF(F38="","",F38-I38)</f>
        <v/>
      </c>
      <c r="K38" s="11">
        <f>IF(F38="","",I38/F38)</f>
        <v/>
      </c>
      <c r="L38" s="12">
        <f>IF(F38="","",IF(I38=0,"بانتظار التسليم",IF(I38&gt;=F38,"تم الاستلام بالكامل","استلام جزئي")))</f>
        <v/>
      </c>
      <c r="M38" s="7" t="n"/>
    </row>
    <row r="39">
      <c r="A39" s="6">
        <f>ROW()-8</f>
        <v/>
      </c>
      <c r="B39" s="7" t="n"/>
      <c r="C39" s="7" t="n"/>
      <c r="D39" s="7" t="n"/>
      <c r="E39" s="7" t="n"/>
      <c r="F39" s="8" t="n"/>
      <c r="G39" s="9" t="n"/>
      <c r="H39" s="9" t="n"/>
      <c r="I39" s="8" t="n"/>
      <c r="J39" s="10">
        <f>IF(F39="","",F39-I39)</f>
        <v/>
      </c>
      <c r="K39" s="11">
        <f>IF(F39="","",I39/F39)</f>
        <v/>
      </c>
      <c r="L39" s="12">
        <f>IF(F39="","",IF(I39=0,"بانتظار التسليم",IF(I39&gt;=F39,"تم الاستلام بالكامل","استلام جزئي")))</f>
        <v/>
      </c>
      <c r="M39" s="7" t="n"/>
    </row>
    <row r="40">
      <c r="A40" s="6">
        <f>ROW()-8</f>
        <v/>
      </c>
      <c r="B40" s="7" t="n"/>
      <c r="C40" s="7" t="n"/>
      <c r="D40" s="7" t="n"/>
      <c r="E40" s="7" t="n"/>
      <c r="F40" s="8" t="n"/>
      <c r="G40" s="9" t="n"/>
      <c r="H40" s="9" t="n"/>
      <c r="I40" s="8" t="n"/>
      <c r="J40" s="10">
        <f>IF(F40="","",F40-I40)</f>
        <v/>
      </c>
      <c r="K40" s="11">
        <f>IF(F40="","",I40/F40)</f>
        <v/>
      </c>
      <c r="L40" s="12">
        <f>IF(F40="","",IF(I40=0,"بانتظار التسليم",IF(I40&gt;=F40,"تم الاستلام بالكامل","استلام جزئي")))</f>
        <v/>
      </c>
      <c r="M40" s="7" t="n"/>
    </row>
    <row r="41">
      <c r="A41" s="6">
        <f>ROW()-8</f>
        <v/>
      </c>
      <c r="B41" s="7" t="n"/>
      <c r="C41" s="7" t="n"/>
      <c r="D41" s="7" t="n"/>
      <c r="E41" s="7" t="n"/>
      <c r="F41" s="8" t="n"/>
      <c r="G41" s="9" t="n"/>
      <c r="H41" s="9" t="n"/>
      <c r="I41" s="8" t="n"/>
      <c r="J41" s="10">
        <f>IF(F41="","",F41-I41)</f>
        <v/>
      </c>
      <c r="K41" s="11">
        <f>IF(F41="","",I41/F41)</f>
        <v/>
      </c>
      <c r="L41" s="12">
        <f>IF(F41="","",IF(I41=0,"بانتظار التسليم",IF(I41&gt;=F41,"تم الاستلام بالكامل","استلام جزئي")))</f>
        <v/>
      </c>
      <c r="M41" s="7" t="n"/>
    </row>
    <row r="42">
      <c r="A42" s="6">
        <f>ROW()-8</f>
        <v/>
      </c>
      <c r="B42" s="7" t="n"/>
      <c r="C42" s="7" t="n"/>
      <c r="D42" s="7" t="n"/>
      <c r="E42" s="7" t="n"/>
      <c r="F42" s="8" t="n"/>
      <c r="G42" s="9" t="n"/>
      <c r="H42" s="9" t="n"/>
      <c r="I42" s="8" t="n"/>
      <c r="J42" s="10">
        <f>IF(F42="","",F42-I42)</f>
        <v/>
      </c>
      <c r="K42" s="11">
        <f>IF(F42="","",I42/F42)</f>
        <v/>
      </c>
      <c r="L42" s="12">
        <f>IF(F42="","",IF(I42=0,"بانتظار التسليم",IF(I42&gt;=F42,"تم الاستلام بالكامل","استلام جزئي")))</f>
        <v/>
      </c>
      <c r="M42" s="7" t="n"/>
    </row>
    <row r="43">
      <c r="A43" s="6">
        <f>ROW()-8</f>
        <v/>
      </c>
      <c r="B43" s="7" t="n"/>
      <c r="C43" s="7" t="n"/>
      <c r="D43" s="7" t="n"/>
      <c r="E43" s="7" t="n"/>
      <c r="F43" s="8" t="n"/>
      <c r="G43" s="9" t="n"/>
      <c r="H43" s="9" t="n"/>
      <c r="I43" s="8" t="n"/>
      <c r="J43" s="10">
        <f>IF(F43="","",F43-I43)</f>
        <v/>
      </c>
      <c r="K43" s="11">
        <f>IF(F43="","",I43/F43)</f>
        <v/>
      </c>
      <c r="L43" s="12">
        <f>IF(F43="","",IF(I43=0,"بانتظار التسليم",IF(I43&gt;=F43,"تم الاستلام بالكامل","استلام جزئي")))</f>
        <v/>
      </c>
      <c r="M43" s="7" t="n"/>
    </row>
  </sheetData>
  <mergeCells count="6">
    <mergeCell ref="A1:M1"/>
    <mergeCell ref="H7:L7"/>
    <mergeCell ref="H6:L6"/>
    <mergeCell ref="H5:L5"/>
    <mergeCell ref="H4:L4"/>
    <mergeCell ref="A2:M2"/>
  </mergeCells>
  <conditionalFormatting sqref="L9:L43">
    <cfRule type="cellIs" priority="1" operator="equal" dxfId="0">
      <formula>"بانتظار التسليم"</formula>
    </cfRule>
    <cfRule type="cellIs" priority="2" operator="equal" dxfId="1">
      <formula>"استلام جزئي"</formula>
    </cfRule>
    <cfRule type="cellIs" priority="3" operator="equal" dxfId="2">
      <formula>"تم الاستلام بالكامل"</formula>
    </cfRule>
  </conditionalFormatting>
  <dataValidations count="1">
    <dataValidation sqref="F9:F43 I9:I43" showDropDown="0" showInputMessage="0" showErrorMessage="1" allowBlank="1" errorTitle="قيمة غير صحيحة" error="الكمية يجب أن تكون رقماً صحيحاً 0 أو أكبر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2026-09-22T03:21:08Z</dcterms:created>
  <dcterms:modified xsi:type="dcterms:W3CDTF">2026-09-22T03:26:41Z</dcterms:modified>
</cp:coreProperties>
</file>